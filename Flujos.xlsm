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GitHub\Software_Actuarial_1\"/>
    </mc:Choice>
  </mc:AlternateContent>
  <xr:revisionPtr revIDLastSave="0" documentId="13_ncr:1_{17FB88AD-8E0C-419F-95E3-B375058F12E0}" xr6:coauthVersionLast="36" xr6:coauthVersionMax="36" xr10:uidLastSave="{00000000-0000-0000-0000-000000000000}"/>
  <bookViews>
    <workbookView xWindow="0" yWindow="0" windowWidth="20490" windowHeight="7545" activeTab="4" xr2:uid="{68FC5AF3-AE45-43AA-B3B2-DA9060778E7E}"/>
  </bookViews>
  <sheets>
    <sheet name="Hoja1" sheetId="1" r:id="rId1"/>
    <sheet name="Hoja9" sheetId="9" r:id="rId2"/>
    <sheet name="Hoja2" sheetId="10" r:id="rId3"/>
    <sheet name="Hoja3" sheetId="11" r:id="rId4"/>
    <sheet name="Hoja4" sheetId="1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0" i="1" l="1"/>
  <c r="D10" i="1" s="1"/>
  <c r="E10" i="1" s="1"/>
  <c r="F10" i="1" s="1"/>
  <c r="G10" i="1" s="1"/>
  <c r="H10" i="1" s="1"/>
  <c r="I10" i="1" s="1"/>
  <c r="J10" i="1" s="1"/>
  <c r="K10" i="1" s="1"/>
  <c r="C11" i="1"/>
  <c r="D11" i="1"/>
  <c r="E11" i="1"/>
  <c r="F11" i="1"/>
  <c r="G11" i="1"/>
  <c r="H11" i="1"/>
  <c r="I11" i="1"/>
  <c r="J11" i="1"/>
  <c r="K11" i="1"/>
  <c r="B11" i="1"/>
  <c r="B10" i="1"/>
  <c r="B13" i="1" l="1"/>
</calcChain>
</file>

<file path=xl/sharedStrings.xml><?xml version="1.0" encoding="utf-8"?>
<sst xmlns="http://schemas.openxmlformats.org/spreadsheetml/2006/main" count="67" uniqueCount="24">
  <si>
    <t>Datos de entrada</t>
  </si>
  <si>
    <t>1.- Flujo de salida al inicio del año 1</t>
  </si>
  <si>
    <t>2.- Flujo de entrada al final del año 1</t>
  </si>
  <si>
    <t>3.- Tasa de incremento del flujo de entrada al año</t>
  </si>
  <si>
    <t>4.- Números de años de los flujos de entrada</t>
  </si>
  <si>
    <t>5.- Tasa de descuento</t>
  </si>
  <si>
    <t>Cálculo de el valor presente neto de una serie de flujos.</t>
  </si>
  <si>
    <t>Modelos de efectivo</t>
  </si>
  <si>
    <t>Año</t>
  </si>
  <si>
    <t>Flujo de efectivo</t>
  </si>
  <si>
    <t>Factor de descuento</t>
  </si>
  <si>
    <t>Valor Presente neto</t>
  </si>
  <si>
    <t>(Interés simple)</t>
  </si>
  <si>
    <t>1.Flujo de salida al inicio del año 1</t>
  </si>
  <si>
    <t>2.Flujo de entrada al final del año 1</t>
  </si>
  <si>
    <t>3.Tasa de incremento de flujo de entrada al año</t>
  </si>
  <si>
    <t>4.Números de años de los flujos de entrada</t>
  </si>
  <si>
    <t>5.Tasa de descuento</t>
  </si>
  <si>
    <t>Modelos de flujos</t>
  </si>
  <si>
    <t>Cálculo del valor presente neto de una serie de flujos</t>
  </si>
  <si>
    <t>Intéres simple</t>
  </si>
  <si>
    <t>Valor presente neto</t>
  </si>
  <si>
    <t>Tasa</t>
  </si>
  <si>
    <t>Tasas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</si>
</sst>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3" fontId="0" fillId="2" borderId="0" xfId="0" applyNumberFormat="1" applyFill="1"/>
    <xf numFmtId="9" fontId="0" fillId="2" borderId="0" xfId="0" applyNumberFormat="1" applyFill="1"/>
    <xf numFmtId="0" fontId="0" fillId="2" borderId="0" xfId="0" applyFill="1"/>
    <xf numFmtId="44" fontId="0" fillId="0" borderId="0" xfId="1" applyFont="1"/>
    <xf numFmtId="0" fontId="2" fillId="0" borderId="0" xfId="0" applyFont="1"/>
    <xf numFmtId="0" fontId="0" fillId="3" borderId="0" xfId="0" applyFill="1"/>
    <xf numFmtId="44" fontId="0" fillId="3" borderId="0" xfId="1" applyFont="1" applyFill="1"/>
    <xf numFmtId="9" fontId="0" fillId="3" borderId="0" xfId="2" applyFont="1" applyFill="1"/>
    <xf numFmtId="9" fontId="0" fillId="0" borderId="0" xfId="2" applyFon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9" fontId="2" fillId="0" borderId="0" xfId="2" applyFon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3E3AA-0086-4402-AB35-B03A9653E2AA}">
  <sheetPr codeName="Hoja1"/>
  <dimension ref="A1:K13"/>
  <sheetViews>
    <sheetView workbookViewId="0">
      <selection activeCell="A15" sqref="A15"/>
    </sheetView>
  </sheetViews>
  <sheetFormatPr baseColWidth="10" defaultRowHeight="15" x14ac:dyDescent="0.25"/>
  <cols>
    <col min="1" max="1" width="45" customWidth="1"/>
    <col min="2" max="4" width="11.42578125" customWidth="1"/>
  </cols>
  <sheetData>
    <row r="1" spans="1:11" x14ac:dyDescent="0.25">
      <c r="A1" t="s">
        <v>0</v>
      </c>
      <c r="C1" s="10" t="s">
        <v>6</v>
      </c>
      <c r="D1" s="11"/>
      <c r="E1" s="11"/>
      <c r="F1" s="11"/>
      <c r="G1" s="11"/>
    </row>
    <row r="2" spans="1:11" x14ac:dyDescent="0.25">
      <c r="A2" t="s">
        <v>1</v>
      </c>
      <c r="B2" s="1">
        <v>40000</v>
      </c>
    </row>
    <row r="3" spans="1:11" x14ac:dyDescent="0.25">
      <c r="A3" t="s">
        <v>2</v>
      </c>
      <c r="B3" s="1">
        <v>12000</v>
      </c>
    </row>
    <row r="4" spans="1:11" x14ac:dyDescent="0.25">
      <c r="A4" t="s">
        <v>3</v>
      </c>
      <c r="B4" s="2">
        <v>0.12</v>
      </c>
    </row>
    <row r="5" spans="1:11" x14ac:dyDescent="0.25">
      <c r="A5" t="s">
        <v>4</v>
      </c>
      <c r="B5" s="3">
        <v>10</v>
      </c>
    </row>
    <row r="6" spans="1:11" x14ac:dyDescent="0.25">
      <c r="A6" t="s">
        <v>5</v>
      </c>
      <c r="B6" s="2">
        <v>0.16</v>
      </c>
      <c r="C6" t="s">
        <v>12</v>
      </c>
    </row>
    <row r="8" spans="1:11" x14ac:dyDescent="0.25">
      <c r="A8" t="s">
        <v>7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4">
        <f>$B3</f>
        <v>12000</v>
      </c>
      <c r="C10" s="4">
        <f>B10*(1+$B$4)</f>
        <v>13440.000000000002</v>
      </c>
      <c r="D10" s="4">
        <f t="shared" ref="D10:K10" si="0">C10*(1+$B$4)</f>
        <v>15052.800000000003</v>
      </c>
      <c r="E10" s="4">
        <f t="shared" si="0"/>
        <v>16859.136000000006</v>
      </c>
      <c r="F10" s="4">
        <f t="shared" si="0"/>
        <v>18882.23232000001</v>
      </c>
      <c r="G10" s="4">
        <f t="shared" si="0"/>
        <v>21148.100198400014</v>
      </c>
      <c r="H10" s="4">
        <f t="shared" si="0"/>
        <v>23685.872222208018</v>
      </c>
      <c r="I10" s="4">
        <f t="shared" si="0"/>
        <v>26528.176888872982</v>
      </c>
      <c r="J10" s="4">
        <f t="shared" si="0"/>
        <v>29711.558115537744</v>
      </c>
      <c r="K10" s="4">
        <f t="shared" si="0"/>
        <v>33276.945089402274</v>
      </c>
    </row>
    <row r="11" spans="1:11" x14ac:dyDescent="0.25">
      <c r="A11" t="s">
        <v>10</v>
      </c>
      <c r="B11">
        <f>1/(1+B9*$B$6)</f>
        <v>0.86206896551724144</v>
      </c>
      <c r="C11">
        <f t="shared" ref="C11:K11" si="1">1/(1+C9*$B$6)</f>
        <v>0.75757575757575757</v>
      </c>
      <c r="D11">
        <f t="shared" si="1"/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1" x14ac:dyDescent="0.25">
      <c r="A13" t="s">
        <v>11</v>
      </c>
      <c r="B13" s="4">
        <f>-B2+B10*B11+C10*C11+D10*D11+E10*E11+F10*F11+G10*G11+H10*H11+I10*I11+J10*J11+K10*K11</f>
        <v>70040.833314664094</v>
      </c>
    </row>
  </sheetData>
  <mergeCells count="1">
    <mergeCell ref="C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5810D-7CE2-48A0-A291-99C9F1230EE0}">
  <sheetPr codeName="Hoja9"/>
  <dimension ref="A1:K21"/>
  <sheetViews>
    <sheetView workbookViewId="0">
      <selection activeCell="C11" sqref="C11"/>
    </sheetView>
  </sheetViews>
  <sheetFormatPr baseColWidth="10" defaultRowHeight="15" x14ac:dyDescent="0.25"/>
  <cols>
    <col min="1" max="1" width="43.7109375" bestFit="1" customWidth="1"/>
  </cols>
  <sheetData>
    <row r="1" spans="1:11" x14ac:dyDescent="0.25">
      <c r="A1" s="5" t="s">
        <v>0</v>
      </c>
      <c r="F1" t="s">
        <v>19</v>
      </c>
    </row>
    <row r="2" spans="1:11" x14ac:dyDescent="0.25">
      <c r="A2" t="s">
        <v>13</v>
      </c>
      <c r="B2" s="7">
        <v>40000</v>
      </c>
    </row>
    <row r="3" spans="1:11" x14ac:dyDescent="0.25">
      <c r="A3" t="s">
        <v>14</v>
      </c>
      <c r="B3" s="7">
        <v>12000</v>
      </c>
    </row>
    <row r="4" spans="1:11" x14ac:dyDescent="0.25">
      <c r="A4" t="s">
        <v>15</v>
      </c>
      <c r="B4" s="8">
        <v>0.12</v>
      </c>
    </row>
    <row r="5" spans="1:11" x14ac:dyDescent="0.25">
      <c r="A5" t="s">
        <v>16</v>
      </c>
      <c r="B5" s="6">
        <v>10</v>
      </c>
    </row>
    <row r="6" spans="1:11" x14ac:dyDescent="0.25">
      <c r="A6" t="s">
        <v>17</v>
      </c>
      <c r="B6" s="8">
        <v>0.16</v>
      </c>
      <c r="C6" t="s">
        <v>20</v>
      </c>
    </row>
    <row r="8" spans="1:11" x14ac:dyDescent="0.25">
      <c r="A8" t="s">
        <v>18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>
        <v>12000</v>
      </c>
      <c r="C10">
        <v>13440.000000000002</v>
      </c>
      <c r="D10">
        <v>15052.800000000003</v>
      </c>
      <c r="E10">
        <v>16859.136000000006</v>
      </c>
      <c r="F10">
        <v>18882.232320000006</v>
      </c>
      <c r="G10">
        <v>21148.10019840001</v>
      </c>
      <c r="H10">
        <v>23685.872222208014</v>
      </c>
      <c r="I10">
        <v>26528.176888872978</v>
      </c>
      <c r="J10">
        <v>29711.558115537737</v>
      </c>
      <c r="K10">
        <v>33276.945089402267</v>
      </c>
    </row>
    <row r="11" spans="1:11" x14ac:dyDescent="0.25">
      <c r="A11" t="s">
        <v>10</v>
      </c>
      <c r="B11">
        <v>0.98039215686274506</v>
      </c>
      <c r="C11">
        <v>0.96153846153846145</v>
      </c>
      <c r="D11">
        <v>0.94339622641509424</v>
      </c>
      <c r="E11">
        <v>0.92592592592592582</v>
      </c>
      <c r="F11">
        <v>0.90909090909090906</v>
      </c>
      <c r="G11">
        <v>0.89285714285714279</v>
      </c>
      <c r="H11">
        <v>0.8771929824561403</v>
      </c>
      <c r="I11">
        <v>0.86206896551724144</v>
      </c>
      <c r="J11">
        <v>0.84745762711864414</v>
      </c>
      <c r="K11">
        <v>0.83333333333333337</v>
      </c>
    </row>
    <row r="13" spans="1:11" x14ac:dyDescent="0.25">
      <c r="A13" t="s">
        <v>21</v>
      </c>
      <c r="B13">
        <v>70040.833314664065</v>
      </c>
    </row>
    <row r="16" spans="1:11" x14ac:dyDescent="0.25">
      <c r="A16" s="9" t="s">
        <v>22</v>
      </c>
    </row>
    <row r="17" spans="1:2" x14ac:dyDescent="0.25">
      <c r="A17" s="9">
        <v>0.03</v>
      </c>
      <c r="B17">
        <v>137495.26000947377</v>
      </c>
    </row>
    <row r="18" spans="1:2" x14ac:dyDescent="0.25">
      <c r="A18" s="9">
        <v>0.15</v>
      </c>
      <c r="B18">
        <v>73178.212106443869</v>
      </c>
    </row>
    <row r="19" spans="1:2" x14ac:dyDescent="0.25">
      <c r="A19" s="9">
        <v>0.3</v>
      </c>
      <c r="B19">
        <v>40114.721063273479</v>
      </c>
    </row>
    <row r="20" spans="1:2" x14ac:dyDescent="0.25">
      <c r="A20" s="9">
        <v>0.2</v>
      </c>
      <c r="B20">
        <v>59203.919812650012</v>
      </c>
    </row>
    <row r="21" spans="1:2" x14ac:dyDescent="0.25">
      <c r="A21" s="9">
        <v>0.02</v>
      </c>
      <c r="B21">
        <v>147103.01971639268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59C62-E680-45B4-905C-97DADD433EDB}">
  <sheetPr codeName="Hoja2"/>
  <dimension ref="A1:K21"/>
  <sheetViews>
    <sheetView workbookViewId="0">
      <selection activeCell="A16" sqref="A16"/>
    </sheetView>
  </sheetViews>
  <sheetFormatPr baseColWidth="10" defaultRowHeight="15" x14ac:dyDescent="0.25"/>
  <cols>
    <col min="1" max="1" width="43.7109375" bestFit="1" customWidth="1"/>
  </cols>
  <sheetData>
    <row r="1" spans="1:11" x14ac:dyDescent="0.25">
      <c r="A1" s="5" t="s">
        <v>0</v>
      </c>
      <c r="F1" t="s">
        <v>19</v>
      </c>
    </row>
    <row r="2" spans="1:11" x14ac:dyDescent="0.25">
      <c r="A2" t="s">
        <v>13</v>
      </c>
      <c r="B2" s="7">
        <v>40000</v>
      </c>
    </row>
    <row r="3" spans="1:11" x14ac:dyDescent="0.25">
      <c r="A3" t="s">
        <v>14</v>
      </c>
      <c r="B3" s="7">
        <v>12000</v>
      </c>
    </row>
    <row r="4" spans="1:11" x14ac:dyDescent="0.25">
      <c r="A4" t="s">
        <v>15</v>
      </c>
      <c r="B4" s="8">
        <v>0.12</v>
      </c>
    </row>
    <row r="5" spans="1:11" x14ac:dyDescent="0.25">
      <c r="A5" t="s">
        <v>16</v>
      </c>
      <c r="B5" s="6">
        <v>10</v>
      </c>
    </row>
    <row r="6" spans="1:11" x14ac:dyDescent="0.25">
      <c r="A6" t="s">
        <v>17</v>
      </c>
      <c r="B6" s="8">
        <v>0.16</v>
      </c>
      <c r="C6" t="s">
        <v>20</v>
      </c>
    </row>
    <row r="8" spans="1:11" x14ac:dyDescent="0.25">
      <c r="A8" t="s">
        <v>18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>
        <v>12000</v>
      </c>
      <c r="C10">
        <v>13440.000000000002</v>
      </c>
      <c r="D10">
        <v>15052.800000000003</v>
      </c>
      <c r="E10">
        <v>16859.136000000006</v>
      </c>
      <c r="F10">
        <v>18882.232320000006</v>
      </c>
      <c r="G10">
        <v>21148.10019840001</v>
      </c>
      <c r="H10">
        <v>23685.872222208014</v>
      </c>
      <c r="I10">
        <v>26528.176888872978</v>
      </c>
      <c r="J10">
        <v>29711.558115537737</v>
      </c>
      <c r="K10">
        <v>33276.945089402267</v>
      </c>
    </row>
    <row r="11" spans="1:11" x14ac:dyDescent="0.25">
      <c r="A11" t="s">
        <v>10</v>
      </c>
      <c r="B11">
        <v>0.98039215686274506</v>
      </c>
      <c r="C11">
        <v>0.96153846153846145</v>
      </c>
      <c r="D11">
        <v>0.94339622641509424</v>
      </c>
      <c r="E11">
        <v>0.92592592592592582</v>
      </c>
      <c r="F11">
        <v>0.90909090909090906</v>
      </c>
      <c r="G11">
        <v>0.89285714285714279</v>
      </c>
      <c r="H11">
        <v>0.8771929824561403</v>
      </c>
      <c r="I11">
        <v>0.86206896551724144</v>
      </c>
      <c r="J11">
        <v>0.84745762711864414</v>
      </c>
      <c r="K11">
        <v>0.83333333333333337</v>
      </c>
    </row>
    <row r="13" spans="1:11" x14ac:dyDescent="0.25">
      <c r="A13" t="s">
        <v>21</v>
      </c>
      <c r="B13">
        <v>70040.833314664065</v>
      </c>
    </row>
    <row r="16" spans="1:11" x14ac:dyDescent="0.25">
      <c r="A16" s="9" t="s">
        <v>22</v>
      </c>
    </row>
    <row r="17" spans="1:2" x14ac:dyDescent="0.25">
      <c r="A17" s="9">
        <v>0.03</v>
      </c>
      <c r="B17">
        <v>137495.26000947377</v>
      </c>
    </row>
    <row r="18" spans="1:2" x14ac:dyDescent="0.25">
      <c r="A18" s="9">
        <v>0.15</v>
      </c>
      <c r="B18">
        <v>73178.212106443869</v>
      </c>
    </row>
    <row r="19" spans="1:2" x14ac:dyDescent="0.25">
      <c r="A19" s="9">
        <v>0.3</v>
      </c>
      <c r="B19">
        <v>40114.721063273479</v>
      </c>
    </row>
    <row r="20" spans="1:2" x14ac:dyDescent="0.25">
      <c r="A20" s="9">
        <v>0.2</v>
      </c>
      <c r="B20">
        <v>59203.919812650012</v>
      </c>
    </row>
    <row r="21" spans="1:2" x14ac:dyDescent="0.25">
      <c r="A21" s="9">
        <v>0.02</v>
      </c>
      <c r="B21">
        <v>147103.01971639268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C35F9-4784-47D0-99EF-0B7A290B84BF}">
  <sheetPr codeName="Hoja3"/>
  <dimension ref="A1:K21"/>
  <sheetViews>
    <sheetView workbookViewId="0"/>
  </sheetViews>
  <sheetFormatPr baseColWidth="10" defaultRowHeight="15" x14ac:dyDescent="0.25"/>
  <cols>
    <col min="1" max="1" width="43.7109375" bestFit="1" customWidth="1"/>
  </cols>
  <sheetData>
    <row r="1" spans="1:11" x14ac:dyDescent="0.25">
      <c r="A1" s="5" t="s">
        <v>0</v>
      </c>
      <c r="F1" t="s">
        <v>19</v>
      </c>
    </row>
    <row r="2" spans="1:11" x14ac:dyDescent="0.25">
      <c r="A2" t="s">
        <v>13</v>
      </c>
      <c r="B2" s="7">
        <v>40000</v>
      </c>
    </row>
    <row r="3" spans="1:11" x14ac:dyDescent="0.25">
      <c r="A3" t="s">
        <v>14</v>
      </c>
      <c r="B3" s="7">
        <v>12000</v>
      </c>
    </row>
    <row r="4" spans="1:11" x14ac:dyDescent="0.25">
      <c r="A4" t="s">
        <v>15</v>
      </c>
      <c r="B4" s="8">
        <v>0.12</v>
      </c>
    </row>
    <row r="5" spans="1:11" x14ac:dyDescent="0.25">
      <c r="A5" t="s">
        <v>16</v>
      </c>
      <c r="B5" s="6">
        <v>10</v>
      </c>
    </row>
    <row r="6" spans="1:11" x14ac:dyDescent="0.25">
      <c r="A6" t="s">
        <v>17</v>
      </c>
      <c r="B6" s="8">
        <v>0.16</v>
      </c>
      <c r="C6" t="s">
        <v>20</v>
      </c>
    </row>
    <row r="8" spans="1:11" x14ac:dyDescent="0.25">
      <c r="A8" t="s">
        <v>18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>
        <v>12000</v>
      </c>
      <c r="C10">
        <v>13440.000000000002</v>
      </c>
      <c r="D10">
        <v>15052.800000000003</v>
      </c>
      <c r="E10">
        <v>16859.136000000006</v>
      </c>
      <c r="F10">
        <v>18882.232320000006</v>
      </c>
      <c r="G10">
        <v>21148.10019840001</v>
      </c>
      <c r="H10">
        <v>23685.872222208014</v>
      </c>
      <c r="I10">
        <v>26528.176888872978</v>
      </c>
      <c r="J10">
        <v>29711.558115537737</v>
      </c>
      <c r="K10">
        <v>33276.945089402267</v>
      </c>
    </row>
    <row r="11" spans="1:11" x14ac:dyDescent="0.25">
      <c r="A11" t="s">
        <v>10</v>
      </c>
      <c r="B11">
        <v>0.98039215686274506</v>
      </c>
      <c r="C11">
        <v>0.96153846153846145</v>
      </c>
      <c r="D11">
        <v>0.94339622641509424</v>
      </c>
      <c r="E11">
        <v>0.92592592592592582</v>
      </c>
      <c r="F11">
        <v>0.90909090909090906</v>
      </c>
      <c r="G11">
        <v>0.89285714285714279</v>
      </c>
      <c r="H11">
        <v>0.8771929824561403</v>
      </c>
      <c r="I11">
        <v>0.86206896551724144</v>
      </c>
      <c r="J11">
        <v>0.84745762711864414</v>
      </c>
      <c r="K11">
        <v>0.83333333333333337</v>
      </c>
    </row>
    <row r="13" spans="1:11" x14ac:dyDescent="0.25">
      <c r="A13" t="s">
        <v>21</v>
      </c>
      <c r="B13">
        <v>70040.833314664065</v>
      </c>
    </row>
    <row r="16" spans="1:11" x14ac:dyDescent="0.25">
      <c r="A16" s="12" t="s">
        <v>23</v>
      </c>
    </row>
    <row r="17" spans="1:2" x14ac:dyDescent="0.25">
      <c r="A17" s="9">
        <v>0.03</v>
      </c>
      <c r="B17">
        <v>137495.26000947377</v>
      </c>
    </row>
    <row r="18" spans="1:2" x14ac:dyDescent="0.25">
      <c r="A18" s="9">
        <v>0.15</v>
      </c>
      <c r="B18">
        <v>73178.212106443869</v>
      </c>
    </row>
    <row r="19" spans="1:2" x14ac:dyDescent="0.25">
      <c r="A19" s="9">
        <v>0.3</v>
      </c>
      <c r="B19">
        <v>40114.721063273479</v>
      </c>
    </row>
    <row r="20" spans="1:2" x14ac:dyDescent="0.25">
      <c r="A20" s="9">
        <v>0.2</v>
      </c>
      <c r="B20">
        <v>59203.919812650012</v>
      </c>
    </row>
    <row r="21" spans="1:2" x14ac:dyDescent="0.25">
      <c r="A21" s="9">
        <v>0.02</v>
      </c>
      <c r="B21">
        <v>147103.01971639268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BD01C-4788-40F1-8FE5-0AC9786F6C81}">
  <sheetPr codeName="Hoja4"/>
  <dimension ref="A1:K21"/>
  <sheetViews>
    <sheetView tabSelected="1" workbookViewId="0">
      <selection activeCell="B11" sqref="B11"/>
    </sheetView>
  </sheetViews>
  <sheetFormatPr baseColWidth="10" defaultRowHeight="15" x14ac:dyDescent="0.25"/>
  <cols>
    <col min="1" max="1" width="43.7109375" bestFit="1" customWidth="1"/>
  </cols>
  <sheetData>
    <row r="1" spans="1:11" x14ac:dyDescent="0.25">
      <c r="A1" s="5" t="s">
        <v>0</v>
      </c>
    </row>
    <row r="2" spans="1:11" x14ac:dyDescent="0.25">
      <c r="A2" t="s">
        <v>13</v>
      </c>
      <c r="B2" s="7">
        <v>40000</v>
      </c>
    </row>
    <row r="3" spans="1:11" x14ac:dyDescent="0.25">
      <c r="A3" t="s">
        <v>14</v>
      </c>
      <c r="B3" s="7">
        <v>12000</v>
      </c>
    </row>
    <row r="4" spans="1:11" x14ac:dyDescent="0.25">
      <c r="A4" t="s">
        <v>15</v>
      </c>
      <c r="B4" s="8">
        <v>0.12</v>
      </c>
    </row>
    <row r="5" spans="1:11" x14ac:dyDescent="0.25">
      <c r="A5" t="s">
        <v>16</v>
      </c>
      <c r="B5" s="6">
        <v>10</v>
      </c>
    </row>
    <row r="6" spans="1:11" x14ac:dyDescent="0.25">
      <c r="A6" t="s">
        <v>17</v>
      </c>
      <c r="B6" s="8">
        <v>0.16</v>
      </c>
    </row>
    <row r="8" spans="1:11" x14ac:dyDescent="0.25">
      <c r="A8" t="s">
        <v>18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>
        <v>12000</v>
      </c>
      <c r="C10">
        <v>13440.000000000002</v>
      </c>
      <c r="D10">
        <v>15052.800000000003</v>
      </c>
      <c r="E10">
        <v>16859.136000000006</v>
      </c>
      <c r="F10">
        <v>18882.232320000006</v>
      </c>
      <c r="G10">
        <v>21148.10019840001</v>
      </c>
      <c r="H10">
        <v>23685.872222208014</v>
      </c>
      <c r="I10">
        <v>26528.176888872978</v>
      </c>
      <c r="J10">
        <v>29711.558115537737</v>
      </c>
      <c r="K10">
        <v>33276.945089402267</v>
      </c>
    </row>
    <row r="11" spans="1:11" x14ac:dyDescent="0.25">
      <c r="A11" t="s">
        <v>10</v>
      </c>
      <c r="B11">
        <v>0.98039215686274506</v>
      </c>
      <c r="C11">
        <v>0.96153846153846145</v>
      </c>
      <c r="D11">
        <v>0.94339622641509424</v>
      </c>
      <c r="E11">
        <v>0.92592592592592582</v>
      </c>
      <c r="F11">
        <v>0.90909090909090906</v>
      </c>
      <c r="G11">
        <v>0.89285714285714279</v>
      </c>
      <c r="H11">
        <v>0.8771929824561403</v>
      </c>
      <c r="I11">
        <v>0.86206896551724144</v>
      </c>
      <c r="J11">
        <v>0.84745762711864414</v>
      </c>
      <c r="K11">
        <v>0.83333333333333337</v>
      </c>
    </row>
    <row r="13" spans="1:11" x14ac:dyDescent="0.25">
      <c r="A13" t="s">
        <v>21</v>
      </c>
      <c r="B13">
        <v>70040.833314664065</v>
      </c>
    </row>
    <row r="16" spans="1:11" x14ac:dyDescent="0.25">
      <c r="A16" s="12" t="s">
        <v>23</v>
      </c>
    </row>
    <row r="17" spans="1:2" x14ac:dyDescent="0.25">
      <c r="A17" s="9">
        <v>0.03</v>
      </c>
      <c r="B17">
        <v>137495.26000947377</v>
      </c>
    </row>
    <row r="18" spans="1:2" x14ac:dyDescent="0.25">
      <c r="A18" s="9">
        <v>0.15</v>
      </c>
      <c r="B18">
        <v>137495.26000947377</v>
      </c>
    </row>
    <row r="19" spans="1:2" x14ac:dyDescent="0.25">
      <c r="A19" s="9">
        <v>0.3</v>
      </c>
      <c r="B19">
        <v>40114.721063273479</v>
      </c>
    </row>
    <row r="20" spans="1:2" x14ac:dyDescent="0.25">
      <c r="A20" s="9">
        <v>0.2</v>
      </c>
      <c r="B20">
        <v>59203.919812650012</v>
      </c>
    </row>
    <row r="21" spans="1:2" x14ac:dyDescent="0.25">
      <c r="A21" s="9">
        <v>0.02</v>
      </c>
      <c r="B21">
        <v>147103.01971639268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Hoja9</vt:lpstr>
      <vt:lpstr>Hoja2</vt:lpstr>
      <vt:lpstr>Hoja3</vt:lpstr>
      <vt:lpstr>Hoja4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Márquez</dc:creator>
  <cp:lastModifiedBy>Santiago Márquez</cp:lastModifiedBy>
  <dcterms:created xsi:type="dcterms:W3CDTF">2019-02-14T00:25:03Z</dcterms:created>
  <dcterms:modified xsi:type="dcterms:W3CDTF">2019-03-12T05:40:39Z</dcterms:modified>
</cp:coreProperties>
</file>